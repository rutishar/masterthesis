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https://fhnw365.sharepoint.com/teams/w-mscbusinessinformationsystems_m365/MasterThesisDocuments/Guidelines, templates and assessment forms/FHNW - MSc BIS MT Assessment Forms/"/>
    </mc:Choice>
  </mc:AlternateContent>
  <xr:revisionPtr revIDLastSave="1" documentId="13_ncr:1_{91FB0118-07C7-485E-8CE4-13C3A5C67AFE}" xr6:coauthVersionLast="47" xr6:coauthVersionMax="47" xr10:uidLastSave="{173BD9DF-FB7C-480A-BC4E-11E2D636551B}"/>
  <bookViews>
    <workbookView xWindow="-110" yWindow="-110" windowWidth="19420" windowHeight="11500" xr2:uid="{00000000-000D-0000-FFFF-FFFF00000000}"/>
  </bookViews>
  <sheets>
    <sheet name="Form" sheetId="1" r:id="rId1"/>
    <sheet name="Notenskala" sheetId="4" r:id="rId2"/>
    <sheet name="AACSB" sheetId="5" r:id="rId3"/>
    <sheet name="Tabelle1" sheetId="6" r:id="rId4"/>
  </sheets>
  <functionGroups builtInGroupCount="19"/>
  <definedNames>
    <definedName name="_xlnm.Print_Area" localSheetId="0">Form!$A$1:$I$23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10" i="1"/>
  <c r="H11" i="1"/>
  <c r="H12" i="1"/>
  <c r="H13" i="1"/>
  <c r="I10" i="5"/>
  <c r="I8" i="5"/>
  <c r="I6" i="5"/>
  <c r="I4" i="5"/>
  <c r="F14" i="1"/>
  <c r="B8" i="4"/>
  <c r="B43" i="4"/>
  <c r="B17" i="4"/>
  <c r="F45" i="4"/>
  <c r="B25" i="4"/>
  <c r="B27" i="4"/>
  <c r="F13" i="4"/>
  <c r="B36" i="4"/>
  <c r="B52" i="4"/>
  <c r="F12" i="4"/>
  <c r="F17" i="4"/>
  <c r="B11" i="4"/>
  <c r="F34" i="4"/>
  <c r="F8" i="4"/>
  <c r="B23" i="4"/>
  <c r="B10" i="4"/>
  <c r="B20" i="4"/>
  <c r="B24" i="4"/>
  <c r="B7" i="4"/>
  <c r="F21" i="4"/>
  <c r="F4" i="4"/>
  <c r="F35" i="4"/>
  <c r="B42" i="4"/>
  <c r="B5" i="4"/>
  <c r="B41" i="4"/>
  <c r="F7" i="4"/>
  <c r="F18" i="4"/>
  <c r="F27" i="4"/>
  <c r="B30" i="4"/>
  <c r="F26" i="4"/>
  <c r="B51" i="4"/>
  <c r="F28" i="4"/>
  <c r="B47" i="4"/>
  <c r="F22" i="4"/>
  <c r="B48" i="4"/>
  <c r="F16" i="4"/>
  <c r="B31" i="4"/>
  <c r="F25" i="4"/>
  <c r="F48" i="4"/>
  <c r="B35" i="4"/>
  <c r="B29" i="4"/>
  <c r="F29" i="4"/>
  <c r="B40" i="4"/>
  <c r="F37" i="4"/>
  <c r="B39" i="4"/>
  <c r="F10" i="4"/>
  <c r="F54" i="4"/>
  <c r="B15" i="4"/>
  <c r="F33" i="4"/>
  <c r="B50" i="4"/>
  <c r="F49" i="4"/>
  <c r="B28" i="4"/>
  <c r="B49" i="4"/>
  <c r="B9" i="4"/>
  <c r="F44" i="4"/>
  <c r="B6" i="4"/>
  <c r="F15" i="4"/>
  <c r="F42" i="4"/>
  <c r="F41" i="4"/>
  <c r="F5" i="4"/>
  <c r="F46" i="4"/>
  <c r="B22" i="4"/>
  <c r="B54" i="4"/>
  <c r="F32" i="4"/>
  <c r="B33" i="4"/>
  <c r="F31" i="4"/>
  <c r="F38" i="4"/>
  <c r="B4" i="4"/>
  <c r="F23" i="4"/>
  <c r="F30" i="4"/>
  <c r="B16" i="4"/>
  <c r="F39" i="4"/>
  <c r="B26" i="4"/>
  <c r="F51" i="4"/>
  <c r="B19" i="4"/>
  <c r="B46" i="4"/>
  <c r="B12" i="4"/>
  <c r="B34" i="4"/>
  <c r="F50" i="4"/>
  <c r="B38" i="4"/>
  <c r="F53" i="4"/>
  <c r="B13" i="4"/>
  <c r="B44" i="4"/>
  <c r="F52" i="4"/>
  <c r="F6" i="4"/>
  <c r="B21" i="4"/>
  <c r="B18" i="4"/>
  <c r="F14" i="4"/>
  <c r="B32" i="4"/>
  <c r="B45" i="4"/>
  <c r="F20" i="4"/>
  <c r="F36" i="4"/>
  <c r="B37" i="4"/>
  <c r="F47" i="4"/>
  <c r="F24" i="4"/>
  <c r="B53" i="4"/>
  <c r="B14" i="4"/>
  <c r="F43" i="4"/>
  <c r="F40" i="4"/>
  <c r="F19" i="4"/>
  <c r="F11" i="4"/>
  <c r="F9" i="4"/>
  <c r="C35" i="4" l="1"/>
  <c r="G26" i="4"/>
  <c r="G23" i="4"/>
  <c r="C42" i="4"/>
  <c r="G16" i="4"/>
  <c r="G50" i="4"/>
  <c r="C51" i="4"/>
  <c r="G9" i="4"/>
  <c r="G30" i="4"/>
  <c r="G18" i="4"/>
  <c r="C33" i="4"/>
  <c r="G21" i="4"/>
  <c r="C28" i="4"/>
  <c r="C19" i="4"/>
  <c r="C45" i="4"/>
  <c r="G11" i="4"/>
  <c r="G31" i="4"/>
  <c r="C5" i="4"/>
  <c r="G46" i="4"/>
  <c r="C20" i="4"/>
  <c r="G28" i="4"/>
  <c r="C16" i="4"/>
  <c r="C32" i="4"/>
  <c r="G19" i="4"/>
  <c r="C13" i="4"/>
  <c r="G4" i="4"/>
  <c r="G15" i="4"/>
  <c r="G8" i="4"/>
  <c r="G27" i="4"/>
  <c r="G38" i="4"/>
  <c r="G14" i="4"/>
  <c r="G40" i="4"/>
  <c r="C22" i="4"/>
  <c r="C24" i="4"/>
  <c r="C49" i="4"/>
  <c r="G17" i="4"/>
  <c r="C41" i="4"/>
  <c r="C54" i="4"/>
  <c r="C18" i="4"/>
  <c r="G43" i="4"/>
  <c r="G42" i="4"/>
  <c r="C23" i="4"/>
  <c r="G33" i="4"/>
  <c r="C36" i="4"/>
  <c r="G35" i="4"/>
  <c r="G41" i="4"/>
  <c r="C21" i="4"/>
  <c r="C14" i="4"/>
  <c r="C9" i="4"/>
  <c r="C11" i="4"/>
  <c r="C39" i="4"/>
  <c r="G45" i="4"/>
  <c r="C7" i="4"/>
  <c r="G44" i="4"/>
  <c r="G6" i="4"/>
  <c r="C53" i="4"/>
  <c r="C50" i="4"/>
  <c r="C52" i="4"/>
  <c r="C29" i="4"/>
  <c r="C38" i="4"/>
  <c r="C10" i="4"/>
  <c r="G49" i="4"/>
  <c r="G52" i="4"/>
  <c r="G24" i="4"/>
  <c r="G10" i="4"/>
  <c r="C25" i="4"/>
  <c r="C31" i="4"/>
  <c r="C46" i="4"/>
  <c r="G34" i="4"/>
  <c r="G54" i="4"/>
  <c r="C44" i="4"/>
  <c r="G47" i="4"/>
  <c r="G29" i="4"/>
  <c r="G53" i="4"/>
  <c r="C47" i="4"/>
  <c r="G39" i="4"/>
  <c r="G12" i="4"/>
  <c r="C40" i="4"/>
  <c r="C43" i="4"/>
  <c r="C37" i="4"/>
  <c r="G25" i="4"/>
  <c r="C12" i="4"/>
  <c r="C30" i="4"/>
  <c r="C4" i="4"/>
  <c r="G13" i="4"/>
  <c r="G48" i="4"/>
  <c r="C8" i="4"/>
  <c r="G36" i="4"/>
  <c r="G22" i="4"/>
  <c r="C26" i="4"/>
  <c r="G7" i="4"/>
  <c r="G32" i="4"/>
  <c r="C17" i="4"/>
  <c r="C48" i="4"/>
  <c r="G37" i="4"/>
  <c r="G20" i="4"/>
  <c r="C27" i="4"/>
  <c r="C34" i="4"/>
  <c r="G51" i="4"/>
  <c r="G5" i="4"/>
  <c r="C6" i="4"/>
  <c r="C15" i="4"/>
  <c r="H14" i="1"/>
  <c r="B19" i="1"/>
  <c r="B20" i="1" l="1"/>
</calcChain>
</file>

<file path=xl/sharedStrings.xml><?xml version="1.0" encoding="utf-8"?>
<sst xmlns="http://schemas.openxmlformats.org/spreadsheetml/2006/main" count="59" uniqueCount="54">
  <si>
    <t>Master of Science in
Business Information Systems</t>
  </si>
  <si>
    <t>Assessment of Master Thesis Proposal</t>
  </si>
  <si>
    <t>Title:</t>
  </si>
  <si>
    <t>Name of Student:</t>
  </si>
  <si>
    <t>Supervisor(s):</t>
  </si>
  <si>
    <t>Criteria</t>
  </si>
  <si>
    <t>Research</t>
  </si>
  <si>
    <t>New Business</t>
  </si>
  <si>
    <t>weight in %</t>
  </si>
  <si>
    <t>Points
(1-100)</t>
  </si>
  <si>
    <t>Weighted Points</t>
  </si>
  <si>
    <t>Verbal Feedback</t>
  </si>
  <si>
    <t>Problem Identification</t>
  </si>
  <si>
    <t>Clarity of objectives, statement of the problem/hypothesis, manageability of the issue (focus), relevant aspects named and appropriately weighted, relevance for practical application</t>
  </si>
  <si>
    <t>Clarity of objectives, manageability of the issue (focus!), relevant aspects named and appropriately weighted, problem addresses customer need, problem has market potential, easible in terms of primary data clear formulation of thesis statement</t>
  </si>
  <si>
    <t>Literature Review</t>
  </si>
  <si>
    <t>Relevance of the sources, depth of review and understanding of key elements, current state of knowledge represented, adequate structure of the concepts</t>
  </si>
  <si>
    <t>Current state of practice represented, alternative approaches and competition are analysed, depth and focus of review, critical discussion of related approaches (from competitors) potential of new approach based on literature with clear argumentation
potential of new approach based on literature with clear argumentation</t>
  </si>
  <si>
    <t>Methodology</t>
  </si>
  <si>
    <t>Soundness of methodology, appropriateness for the research problem, adequate concretization of the methodology to the research problem, soundness and clarity of the argumentation, effectiveness and efficiency of the method</t>
  </si>
  <si>
    <t>Soundness of methodology, appropriateness of the methodology, justification for the methodology, effectiveness and efficiency of the data colllection and analysis</t>
  </si>
  <si>
    <t>Level of Knowledge</t>
  </si>
  <si>
    <t>Are ideas and concepts understood? Are ideas and concepts appropriate to the problem? Are ideas and concepts used effectively?</t>
  </si>
  <si>
    <t>Presentation</t>
  </si>
  <si>
    <t>Logical structure, documentation, language, appearance (layout, graphics..), referencing and bibliography</t>
  </si>
  <si>
    <t>Total Points</t>
  </si>
  <si>
    <t>Overall Impression (brief verbal feedback)</t>
  </si>
  <si>
    <t>Grade:</t>
  </si>
  <si>
    <t>Final Grade</t>
  </si>
  <si>
    <t>Notenskala MSc</t>
  </si>
  <si>
    <t>Prozent</t>
  </si>
  <si>
    <t>Note</t>
  </si>
  <si>
    <t>halbe Note</t>
  </si>
  <si>
    <t>Trait</t>
  </si>
  <si>
    <t>exceeds expectation</t>
  </si>
  <si>
    <t>meets expectation</t>
  </si>
  <si>
    <t>does not meet expectation</t>
  </si>
  <si>
    <t>AACSB Value</t>
  </si>
  <si>
    <t>Does the problem have scientific and business impact?</t>
  </si>
  <si>
    <t xml:space="preserve">The solution to that problem is of general interests and has  a significant buisness impact </t>
  </si>
  <si>
    <t xml:space="preserve">The solution to that problem is of general interests and has some buisness impact </t>
  </si>
  <si>
    <t xml:space="preserve">The problem is only specific for a company or doesn't have a significant buisness impact </t>
  </si>
  <si>
    <t>Is the problem derived from the relevant scientific literature</t>
  </si>
  <si>
    <t>All relevant knowledge sources are referenced and the research gap is derived from the literature by a clear argumentation</t>
  </si>
  <si>
    <t>Most relevant knowledge sources are referenced and the research gap is derived from the literature butthere breaks in the argumentation</t>
  </si>
  <si>
    <t>Important scientific literature is missing. No clear argumentation for the research gap</t>
  </si>
  <si>
    <t>Is the research design defined appropriate?</t>
  </si>
  <si>
    <t>The research design describes a clear path to a solid validation of the thesis statement. The design is based in a sound methodology.</t>
  </si>
  <si>
    <t>The research design describes a reasonable path to a validation of the thesis statement. The data collection is appropriate.</t>
  </si>
  <si>
    <t xml:space="preserve">The research design fail to validate the thesis statement because of an inappropriate research method or inappropriate data </t>
  </si>
  <si>
    <t>Is the research design applied in an appropriate way?</t>
  </si>
  <si>
    <t>The research design is applied on an appropriate level of detail. The data anaylsis supports the research results and the argumentation is comprehensible.</t>
  </si>
  <si>
    <t>The data anaylsis supports the research result.</t>
  </si>
  <si>
    <t>The research design is not applied as defined or the data is analysed inapproriately.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</si>
</sst>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0"/>
      <name val="Arial"/>
    </font>
    <font>
      <sz val="8"/>
      <name val="Arial"/>
      <family val="2"/>
    </font>
    <font>
      <b/>
      <sz val="10"/>
      <name val="Arial"/>
      <family val="2"/>
    </font>
    <font>
      <b/>
      <sz val="12"/>
      <name val="Arial"/>
      <family val="2"/>
    </font>
    <font>
      <i/>
      <sz val="14"/>
      <name val="Arial"/>
      <family val="2"/>
    </font>
    <font>
      <b/>
      <i/>
      <sz val="10"/>
      <name val="Arial"/>
      <family val="2"/>
    </font>
    <font>
      <sz val="12"/>
      <name val="Arial"/>
      <family val="2"/>
    </font>
    <font>
      <sz val="9"/>
      <name val="Arial"/>
      <family val="2"/>
    </font>
    <font>
      <sz val="10"/>
      <color theme="0" tint="-0.499984740745262"/>
      <name val="Arial"/>
      <family val="2"/>
    </font>
  </fonts>
  <fills count="9">
    <fill>
      <patternFill patternType="none"/>
    </fill>
    <fill>
      <patternFill patternType="gray125"/>
    </fill>
    <fill>
      <patternFill patternType="solid">
        <fgColor indexed="22"/>
        <bgColor indexed="64"/>
      </patternFill>
    </fill>
    <fill>
      <patternFill patternType="solid">
        <fgColor indexed="23"/>
        <bgColor indexed="64"/>
      </patternFill>
    </fill>
    <fill>
      <patternFill patternType="solid">
        <fgColor indexed="4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79998168889431442"/>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23"/>
      </left>
      <right style="medium">
        <color indexed="23"/>
      </right>
      <top style="medium">
        <color indexed="23"/>
      </top>
      <bottom style="medium">
        <color indexed="23"/>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style="thin">
        <color indexed="64"/>
      </left>
      <right style="thick">
        <color indexed="64"/>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medium">
        <color indexed="23"/>
      </bottom>
      <diagonal/>
    </border>
  </borders>
  <cellStyleXfs count="1">
    <xf numFmtId="0" fontId="0" fillId="0" borderId="0"/>
  </cellStyleXfs>
  <cellXfs count="96">
    <xf numFmtId="0" fontId="0" fillId="0" borderId="0" xfId="0"/>
    <xf numFmtId="0" fontId="0" fillId="2" borderId="1" xfId="0" applyFill="1" applyBorder="1" applyAlignment="1">
      <alignment horizontal="center" vertical="top"/>
    </xf>
    <xf numFmtId="0" fontId="2" fillId="3" borderId="1" xfId="0" applyFont="1" applyFill="1" applyBorder="1" applyAlignment="1">
      <alignment vertical="top" wrapText="1"/>
    </xf>
    <xf numFmtId="0" fontId="2" fillId="3" borderId="1" xfId="0" applyFont="1" applyFill="1" applyBorder="1" applyAlignment="1">
      <alignment horizontal="center" vertical="top" wrapText="1"/>
    </xf>
    <xf numFmtId="0" fontId="2" fillId="2" borderId="1" xfId="0" applyFont="1" applyFill="1" applyBorder="1" applyAlignment="1">
      <alignment horizontal="left" vertical="top" wrapText="1"/>
    </xf>
    <xf numFmtId="0" fontId="2" fillId="2" borderId="1" xfId="0" applyFont="1" applyFill="1" applyBorder="1"/>
    <xf numFmtId="0" fontId="2" fillId="2" borderId="1" xfId="0" applyFont="1" applyFill="1" applyBorder="1" applyAlignment="1">
      <alignment horizontal="center" vertical="top"/>
    </xf>
    <xf numFmtId="0" fontId="0" fillId="0" borderId="0" xfId="0" applyAlignment="1">
      <alignment horizontal="center"/>
    </xf>
    <xf numFmtId="0" fontId="0" fillId="0" borderId="2" xfId="0" applyBorder="1"/>
    <xf numFmtId="0" fontId="0" fillId="0" borderId="2" xfId="0" applyBorder="1" applyAlignment="1">
      <alignment horizontal="center"/>
    </xf>
    <xf numFmtId="0" fontId="3" fillId="0" borderId="0" xfId="0" applyFont="1"/>
    <xf numFmtId="0" fontId="4" fillId="0" borderId="0" xfId="0" applyFont="1"/>
    <xf numFmtId="2" fontId="0" fillId="0" borderId="0" xfId="0" applyNumberFormat="1"/>
    <xf numFmtId="0" fontId="5" fillId="2" borderId="3" xfId="0" applyFont="1" applyFill="1" applyBorder="1" applyAlignment="1">
      <alignment horizontal="right"/>
    </xf>
    <xf numFmtId="2" fontId="0" fillId="0" borderId="0" xfId="0" applyNumberFormat="1" applyAlignment="1">
      <alignment horizontal="right"/>
    </xf>
    <xf numFmtId="0" fontId="0" fillId="0" borderId="0" xfId="0" applyAlignment="1">
      <alignment horizontal="right"/>
    </xf>
    <xf numFmtId="0" fontId="0" fillId="0" borderId="4" xfId="0" applyBorder="1"/>
    <xf numFmtId="164" fontId="0" fillId="0" borderId="4" xfId="0" applyNumberFormat="1" applyBorder="1"/>
    <xf numFmtId="164" fontId="0" fillId="0" borderId="5" xfId="0" applyNumberFormat="1" applyBorder="1"/>
    <xf numFmtId="0" fontId="0" fillId="0" borderId="6" xfId="0" applyBorder="1"/>
    <xf numFmtId="0" fontId="0" fillId="2" borderId="4" xfId="0" applyFill="1" applyBorder="1"/>
    <xf numFmtId="164" fontId="0" fillId="2" borderId="4" xfId="0" applyNumberFormat="1" applyFill="1" applyBorder="1"/>
    <xf numFmtId="0" fontId="0" fillId="2" borderId="6" xfId="0" applyFill="1" applyBorder="1"/>
    <xf numFmtId="0" fontId="0" fillId="0" borderId="7" xfId="0" applyBorder="1"/>
    <xf numFmtId="164" fontId="0" fillId="0" borderId="7" xfId="0" applyNumberFormat="1" applyBorder="1"/>
    <xf numFmtId="0" fontId="0" fillId="0" borderId="8" xfId="0" applyBorder="1"/>
    <xf numFmtId="0" fontId="2" fillId="2" borderId="1" xfId="0" applyFont="1" applyFill="1" applyBorder="1" applyAlignment="1">
      <alignment vertical="center"/>
    </xf>
    <xf numFmtId="1" fontId="2" fillId="2" borderId="1" xfId="0" applyNumberFormat="1" applyFont="1" applyFill="1" applyBorder="1" applyAlignment="1">
      <alignment horizontal="center"/>
    </xf>
    <xf numFmtId="0" fontId="2" fillId="0" borderId="1" xfId="0" applyFont="1" applyBorder="1" applyAlignment="1">
      <alignment vertical="center"/>
    </xf>
    <xf numFmtId="164" fontId="3" fillId="4" borderId="1" xfId="0" applyNumberFormat="1" applyFont="1" applyFill="1" applyBorder="1" applyAlignment="1">
      <alignment horizontal="center" vertical="center"/>
    </xf>
    <xf numFmtId="0" fontId="7" fillId="0" borderId="1" xfId="0" applyFont="1" applyBorder="1" applyAlignment="1" applyProtection="1">
      <alignment vertical="top" wrapText="1"/>
      <protection locked="0"/>
    </xf>
    <xf numFmtId="0" fontId="0" fillId="0" borderId="9" xfId="0" applyBorder="1"/>
    <xf numFmtId="0" fontId="2" fillId="2" borderId="10" xfId="0" applyFont="1" applyFill="1" applyBorder="1" applyAlignment="1">
      <alignment horizontal="left" vertical="center"/>
    </xf>
    <xf numFmtId="0" fontId="0" fillId="0" borderId="0" xfId="0" applyAlignment="1">
      <alignment horizontal="center" vertical="center"/>
    </xf>
    <xf numFmtId="0" fontId="8" fillId="5" borderId="11" xfId="0" applyFont="1" applyFill="1" applyBorder="1" applyAlignment="1">
      <alignment horizontal="center" vertical="center" wrapText="1"/>
    </xf>
    <xf numFmtId="0" fontId="8" fillId="5" borderId="11" xfId="0" applyFont="1" applyFill="1" applyBorder="1" applyAlignment="1">
      <alignment horizontal="center" vertical="top" wrapText="1"/>
    </xf>
    <xf numFmtId="0" fontId="8" fillId="5" borderId="12" xfId="0" applyFont="1" applyFill="1" applyBorder="1" applyAlignment="1">
      <alignment horizontal="center" vertical="top" wrapText="1"/>
    </xf>
    <xf numFmtId="0" fontId="8" fillId="5" borderId="13" xfId="0" applyFont="1" applyFill="1" applyBorder="1" applyAlignment="1">
      <alignment horizontal="center" vertical="top" wrapText="1"/>
    </xf>
    <xf numFmtId="0" fontId="8" fillId="6" borderId="11" xfId="0" applyFont="1" applyFill="1" applyBorder="1" applyAlignment="1">
      <alignment horizontal="center" vertical="center" wrapText="1"/>
    </xf>
    <xf numFmtId="0" fontId="8" fillId="6" borderId="11" xfId="0" applyFont="1" applyFill="1" applyBorder="1" applyAlignment="1">
      <alignment horizontal="center"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horizontal="center" vertical="top" wrapText="1"/>
    </xf>
    <xf numFmtId="0" fontId="0" fillId="5" borderId="14" xfId="0" applyFill="1" applyBorder="1" applyAlignment="1">
      <alignment vertical="top" wrapText="1"/>
    </xf>
    <xf numFmtId="0" fontId="0" fillId="6" borderId="15" xfId="0" applyFill="1" applyBorder="1" applyAlignment="1">
      <alignment vertical="top" wrapText="1"/>
    </xf>
    <xf numFmtId="0" fontId="0" fillId="6" borderId="14" xfId="0" applyFill="1" applyBorder="1" applyAlignment="1">
      <alignment vertical="top" wrapText="1"/>
    </xf>
    <xf numFmtId="0" fontId="0" fillId="5" borderId="15" xfId="0" applyFill="1" applyBorder="1" applyAlignment="1">
      <alignment vertical="top" wrapText="1"/>
    </xf>
    <xf numFmtId="0" fontId="0" fillId="5" borderId="16" xfId="0" applyFill="1" applyBorder="1" applyAlignment="1">
      <alignment horizontal="center" vertical="center" wrapText="1"/>
    </xf>
    <xf numFmtId="0" fontId="8" fillId="5" borderId="0" xfId="0" applyFont="1" applyFill="1" applyAlignment="1">
      <alignment horizontal="center" vertical="center" wrapText="1"/>
    </xf>
    <xf numFmtId="0" fontId="8" fillId="5" borderId="0" xfId="0" applyFont="1" applyFill="1" applyAlignment="1">
      <alignment horizontal="center" vertical="top" wrapText="1"/>
    </xf>
    <xf numFmtId="0" fontId="8" fillId="5" borderId="6" xfId="0" applyFont="1" applyFill="1" applyBorder="1" applyAlignment="1">
      <alignment horizontal="center" vertical="top" wrapText="1"/>
    </xf>
    <xf numFmtId="0" fontId="8" fillId="5" borderId="17" xfId="0" applyFont="1" applyFill="1" applyBorder="1" applyAlignment="1">
      <alignment horizontal="center" vertical="top" wrapText="1"/>
    </xf>
    <xf numFmtId="0" fontId="0" fillId="7" borderId="18" xfId="0" applyFill="1" applyBorder="1" applyAlignment="1">
      <alignment horizontal="center" vertical="center"/>
    </xf>
    <xf numFmtId="0" fontId="0" fillId="7" borderId="19" xfId="0" applyFill="1" applyBorder="1" applyAlignment="1">
      <alignment horizontal="center" vertical="center" wrapText="1"/>
    </xf>
    <xf numFmtId="0" fontId="0" fillId="7" borderId="1"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6" borderId="20" xfId="0" applyFill="1" applyBorder="1" applyAlignment="1">
      <alignment horizontal="center" vertical="center"/>
    </xf>
    <xf numFmtId="0" fontId="0" fillId="5" borderId="22" xfId="0" applyFill="1" applyBorder="1" applyAlignment="1">
      <alignment horizontal="center" vertical="center"/>
    </xf>
    <xf numFmtId="0" fontId="0" fillId="6" borderId="23" xfId="0" applyFill="1" applyBorder="1" applyAlignment="1">
      <alignment horizontal="center" vertical="center"/>
    </xf>
    <xf numFmtId="0" fontId="0" fillId="5" borderId="24" xfId="0" applyFill="1" applyBorder="1" applyAlignment="1">
      <alignment horizontal="center" vertical="center"/>
    </xf>
    <xf numFmtId="0" fontId="0" fillId="5" borderId="25" xfId="0" applyFill="1" applyBorder="1" applyAlignment="1">
      <alignment horizontal="center" vertical="top"/>
    </xf>
    <xf numFmtId="0" fontId="0" fillId="6" borderId="26" xfId="0" applyFill="1" applyBorder="1"/>
    <xf numFmtId="0" fontId="0" fillId="6" borderId="25" xfId="0" applyFill="1" applyBorder="1" applyAlignment="1">
      <alignment horizontal="center" vertical="top"/>
    </xf>
    <xf numFmtId="0" fontId="0" fillId="5" borderId="26" xfId="0" applyFill="1" applyBorder="1" applyAlignment="1">
      <alignment horizontal="center" vertical="top"/>
    </xf>
    <xf numFmtId="0" fontId="0" fillId="6" borderId="26" xfId="0" applyFill="1" applyBorder="1" applyAlignment="1">
      <alignment horizontal="center" vertical="top"/>
    </xf>
    <xf numFmtId="0" fontId="0" fillId="6" borderId="27" xfId="0" applyFill="1" applyBorder="1" applyAlignment="1">
      <alignment horizontal="center" vertical="top"/>
    </xf>
    <xf numFmtId="0" fontId="0" fillId="6" borderId="28" xfId="0" applyFill="1" applyBorder="1" applyAlignment="1">
      <alignment vertical="top" wrapText="1"/>
    </xf>
    <xf numFmtId="0" fontId="0" fillId="8" borderId="1" xfId="0" applyFill="1" applyBorder="1" applyAlignment="1" applyProtection="1">
      <alignment horizontal="center" vertical="top"/>
      <protection locked="0"/>
    </xf>
    <xf numFmtId="164" fontId="2" fillId="4" borderId="1" xfId="0" applyNumberFormat="1" applyFont="1" applyFill="1" applyBorder="1" applyAlignment="1">
      <alignment horizontal="center" vertical="top"/>
    </xf>
    <xf numFmtId="164" fontId="6" fillId="4" borderId="1" xfId="0" applyNumberFormat="1" applyFont="1" applyFill="1" applyBorder="1" applyAlignment="1">
      <alignment horizontal="center" vertical="center"/>
    </xf>
    <xf numFmtId="0" fontId="6" fillId="0" borderId="0" xfId="0" applyFont="1" applyAlignment="1">
      <alignment horizontal="center" vertical="top" wrapText="1"/>
    </xf>
    <xf numFmtId="0" fontId="6" fillId="0" borderId="37" xfId="0" applyFont="1" applyBorder="1" applyAlignment="1">
      <alignment horizontal="center" vertical="top" wrapText="1"/>
    </xf>
    <xf numFmtId="0" fontId="2" fillId="3" borderId="18" xfId="0" applyFont="1" applyFill="1" applyBorder="1" applyAlignment="1">
      <alignment vertical="top" wrapText="1"/>
    </xf>
    <xf numFmtId="0" fontId="2" fillId="3" borderId="29" xfId="0" applyFont="1" applyFill="1" applyBorder="1" applyAlignment="1">
      <alignment vertical="top" wrapText="1"/>
    </xf>
    <xf numFmtId="0" fontId="1" fillId="8" borderId="18" xfId="0" applyFont="1" applyFill="1" applyBorder="1" applyAlignment="1">
      <alignment vertical="top" wrapText="1"/>
    </xf>
    <xf numFmtId="0" fontId="1" fillId="8" borderId="29" xfId="0" applyFont="1" applyFill="1" applyBorder="1" applyAlignment="1">
      <alignment vertical="top" wrapText="1"/>
    </xf>
    <xf numFmtId="14" fontId="0" fillId="0" borderId="0" xfId="0" applyNumberFormat="1" applyAlignment="1">
      <alignment horizontal="right"/>
    </xf>
    <xf numFmtId="14" fontId="0" fillId="0" borderId="0" xfId="0" applyNumberFormat="1"/>
    <xf numFmtId="0" fontId="0" fillId="0" borderId="10" xfId="0" applyBorder="1" applyAlignment="1" applyProtection="1">
      <alignment vertical="center"/>
      <protection locked="0"/>
    </xf>
    <xf numFmtId="0" fontId="2" fillId="2" borderId="18" xfId="0" applyFont="1" applyFill="1" applyBorder="1" applyAlignment="1">
      <alignment vertical="top" wrapText="1"/>
    </xf>
    <xf numFmtId="0" fontId="2" fillId="2" borderId="29" xfId="0" applyFont="1" applyFill="1" applyBorder="1" applyAlignment="1">
      <alignment vertical="top" wrapText="1"/>
    </xf>
    <xf numFmtId="0" fontId="0" fillId="0" borderId="18" xfId="0" applyBorder="1" applyAlignment="1" applyProtection="1">
      <alignment vertical="top" wrapText="1"/>
      <protection locked="0"/>
    </xf>
    <xf numFmtId="0" fontId="0" fillId="0" borderId="9" xfId="0" applyBorder="1" applyAlignment="1" applyProtection="1">
      <alignment vertical="top" wrapText="1"/>
      <protection locked="0"/>
    </xf>
    <xf numFmtId="0" fontId="0" fillId="0" borderId="29" xfId="0" applyBorder="1" applyAlignment="1" applyProtection="1">
      <alignment vertical="top" wrapText="1"/>
      <protection locked="0"/>
    </xf>
    <xf numFmtId="0" fontId="0" fillId="5" borderId="30" xfId="0" applyFill="1" applyBorder="1" applyAlignment="1">
      <alignment horizontal="left" vertical="top" wrapText="1"/>
    </xf>
    <xf numFmtId="0" fontId="0" fillId="7" borderId="9" xfId="0" applyFill="1" applyBorder="1" applyAlignment="1">
      <alignment horizontal="center" vertical="center" wrapText="1"/>
    </xf>
    <xf numFmtId="0" fontId="0" fillId="5" borderId="8" xfId="0" applyFill="1" applyBorder="1" applyAlignment="1">
      <alignment horizontal="left" vertical="top" wrapText="1"/>
    </xf>
    <xf numFmtId="0" fontId="0" fillId="5" borderId="31" xfId="0" applyFill="1" applyBorder="1" applyAlignment="1">
      <alignment horizontal="left" vertical="top" wrapText="1"/>
    </xf>
    <xf numFmtId="0" fontId="0" fillId="6" borderId="30" xfId="0" applyFill="1" applyBorder="1" applyAlignment="1">
      <alignment horizontal="left" vertical="top" wrapText="1"/>
    </xf>
    <xf numFmtId="0" fontId="0" fillId="6" borderId="8" xfId="0" applyFill="1" applyBorder="1" applyAlignment="1">
      <alignment horizontal="left" vertical="top" wrapText="1"/>
    </xf>
    <xf numFmtId="0" fontId="0" fillId="6" borderId="31" xfId="0" applyFill="1" applyBorder="1" applyAlignment="1">
      <alignment horizontal="left" vertical="top" wrapText="1"/>
    </xf>
    <xf numFmtId="0" fontId="0" fillId="7" borderId="32" xfId="0" applyFill="1" applyBorder="1" applyAlignment="1">
      <alignment horizontal="center" vertical="center" wrapText="1"/>
    </xf>
    <xf numFmtId="0" fontId="0" fillId="7" borderId="33" xfId="0" applyFill="1" applyBorder="1" applyAlignment="1">
      <alignment horizontal="center" vertical="center" wrapText="1"/>
    </xf>
    <xf numFmtId="0" fontId="0" fillId="6" borderId="34" xfId="0" applyFill="1" applyBorder="1" applyAlignment="1">
      <alignment horizontal="left" vertical="top" wrapText="1"/>
    </xf>
    <xf numFmtId="0" fontId="0" fillId="6" borderId="35" xfId="0" applyFill="1" applyBorder="1" applyAlignment="1">
      <alignment horizontal="left" vertical="top" wrapText="1"/>
    </xf>
    <xf numFmtId="0" fontId="0" fillId="6" borderId="36" xfId="0" applyFill="1" applyBorder="1" applyAlignment="1">
      <alignment horizontal="left" vertical="top" wrapText="1"/>
    </xf>
  </cellXfs>
  <cellStyles count="1">
    <cellStyle name="Standard" xfId="0" builtinId="0"/>
  </cellStyles>
  <dxfs count="3">
    <dxf>
      <font>
        <color auto="1"/>
      </font>
      <fill>
        <patternFill patternType="solid">
          <fgColor indexed="64"/>
          <bgColor theme="6" tint="0.39997558519241921"/>
        </patternFill>
      </fill>
    </dxf>
    <dxf>
      <font>
        <color auto="1"/>
      </font>
      <fill>
        <patternFill patternType="solid">
          <fgColor indexed="64"/>
          <bgColor theme="9" tint="0.59999389629810485"/>
        </patternFill>
      </fill>
    </dxf>
    <dxf>
      <font>
        <color auto="1"/>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1440180</xdr:colOff>
      <xdr:row>2</xdr:row>
      <xdr:rowOff>14642</xdr:rowOff>
    </xdr:to>
    <xdr:pic>
      <xdr:nvPicPr>
        <xdr:cNvPr id="1076" name="Picture 1" descr="fhnw_hw_e_10mm">
          <a:extLst>
            <a:ext uri="{FF2B5EF4-FFF2-40B4-BE49-F238E27FC236}">
              <a16:creationId xmlns:a16="http://schemas.microsoft.com/office/drawing/2014/main" id="{00000000-0008-0000-0000-000034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34594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30"/>
  <sheetViews>
    <sheetView tabSelected="1" topLeftCell="A13" zoomScale="130" zoomScaleNormal="130" workbookViewId="0">
      <selection activeCell="C16" sqref="C16"/>
    </sheetView>
  </sheetViews>
  <sheetFormatPr baseColWidth="10" defaultColWidth="10.85546875" defaultRowHeight="12.75" x14ac:dyDescent="0.2"/>
  <cols>
    <col min="1" max="1" width="17.85546875" customWidth="1"/>
    <col min="2" max="2" width="11.5703125" customWidth="1"/>
    <col min="3" max="3" width="25.85546875" customWidth="1"/>
    <col min="4" max="4" width="11.5703125" customWidth="1"/>
    <col min="5" max="5" width="25.85546875" customWidth="1"/>
    <col min="6" max="6" width="7.140625" customWidth="1"/>
    <col min="7" max="7" width="8.85546875" customWidth="1"/>
    <col min="8" max="8" width="9.42578125" style="7" customWidth="1"/>
    <col min="9" max="9" width="37.5703125" customWidth="1"/>
  </cols>
  <sheetData>
    <row r="1" spans="1:9" ht="12.6" customHeight="1" x14ac:dyDescent="0.2">
      <c r="G1" s="70" t="s">
        <v>0</v>
      </c>
      <c r="H1" s="70"/>
      <c r="I1" s="70"/>
    </row>
    <row r="2" spans="1:9" ht="15.75" x14ac:dyDescent="0.25">
      <c r="A2" s="10" t="s">
        <v>1</v>
      </c>
      <c r="G2" s="70"/>
      <c r="H2" s="70"/>
      <c r="I2" s="70"/>
    </row>
    <row r="3" spans="1:9" ht="13.5" thickBot="1" x14ac:dyDescent="0.25">
      <c r="G3" s="71"/>
      <c r="H3" s="71"/>
      <c r="I3" s="71"/>
    </row>
    <row r="4" spans="1:9" ht="20.100000000000001" customHeight="1" thickBot="1" x14ac:dyDescent="0.25">
      <c r="A4" s="32" t="s">
        <v>2</v>
      </c>
      <c r="B4" s="78"/>
      <c r="C4" s="78"/>
      <c r="D4" s="78"/>
      <c r="E4" s="78"/>
      <c r="F4" s="78"/>
      <c r="G4" s="78"/>
      <c r="H4" s="78"/>
      <c r="I4" s="78"/>
    </row>
    <row r="5" spans="1:9" ht="20.100000000000001" customHeight="1" thickBot="1" x14ac:dyDescent="0.25">
      <c r="A5" s="32" t="s">
        <v>3</v>
      </c>
      <c r="B5" s="78"/>
      <c r="C5" s="78"/>
      <c r="D5" s="78"/>
      <c r="E5" s="78"/>
      <c r="F5" s="78"/>
      <c r="G5" s="78"/>
      <c r="H5" s="78"/>
      <c r="I5" s="78"/>
    </row>
    <row r="6" spans="1:9" ht="20.100000000000001" customHeight="1" thickBot="1" x14ac:dyDescent="0.25">
      <c r="A6" s="32" t="s">
        <v>4</v>
      </c>
      <c r="B6" s="78"/>
      <c r="C6" s="78"/>
      <c r="D6" s="78"/>
      <c r="E6" s="78"/>
      <c r="F6" s="78"/>
      <c r="G6" s="78"/>
      <c r="H6" s="78"/>
      <c r="I6" s="78"/>
    </row>
    <row r="7" spans="1:9" ht="13.5" thickBot="1" x14ac:dyDescent="0.25"/>
    <row r="8" spans="1:9" ht="26.25" thickBot="1" x14ac:dyDescent="0.25">
      <c r="A8" s="2" t="s">
        <v>5</v>
      </c>
      <c r="B8" s="72" t="s">
        <v>6</v>
      </c>
      <c r="C8" s="73"/>
      <c r="D8" s="72" t="s">
        <v>7</v>
      </c>
      <c r="E8" s="73"/>
      <c r="F8" s="3" t="s">
        <v>8</v>
      </c>
      <c r="G8" s="3" t="s">
        <v>9</v>
      </c>
      <c r="H8" s="3" t="s">
        <v>10</v>
      </c>
      <c r="I8" s="2" t="s">
        <v>11</v>
      </c>
    </row>
    <row r="9" spans="1:9" ht="58.5" customHeight="1" x14ac:dyDescent="0.2">
      <c r="A9" s="4" t="s">
        <v>12</v>
      </c>
      <c r="B9" s="74" t="s">
        <v>13</v>
      </c>
      <c r="C9" s="75"/>
      <c r="D9" s="74" t="s">
        <v>14</v>
      </c>
      <c r="E9" s="75"/>
      <c r="F9" s="1">
        <v>20</v>
      </c>
      <c r="G9" s="67"/>
      <c r="H9" s="68" t="str">
        <f>IF(G9="","",(G9*F9/100))</f>
        <v/>
      </c>
      <c r="I9" s="30"/>
    </row>
    <row r="10" spans="1:9" ht="78.599999999999994" customHeight="1" thickBot="1" x14ac:dyDescent="0.25">
      <c r="A10" s="4" t="s">
        <v>15</v>
      </c>
      <c r="B10" s="74" t="s">
        <v>16</v>
      </c>
      <c r="C10" s="75"/>
      <c r="D10" s="74" t="s">
        <v>17</v>
      </c>
      <c r="E10" s="75"/>
      <c r="F10" s="1">
        <v>30</v>
      </c>
      <c r="G10" s="67"/>
      <c r="H10" s="68" t="str">
        <f t="shared" ref="H10:H13" si="0">IF(G10="","",(G10*F10/100))</f>
        <v/>
      </c>
      <c r="I10" s="30"/>
    </row>
    <row r="11" spans="1:9" ht="60.75" customHeight="1" thickBot="1" x14ac:dyDescent="0.25">
      <c r="A11" s="4" t="s">
        <v>18</v>
      </c>
      <c r="B11" s="74" t="s">
        <v>19</v>
      </c>
      <c r="C11" s="75"/>
      <c r="D11" s="74" t="s">
        <v>20</v>
      </c>
      <c r="E11" s="75"/>
      <c r="F11" s="1">
        <v>30</v>
      </c>
      <c r="G11" s="67"/>
      <c r="H11" s="68" t="str">
        <f>IF(G11="","",(G11*F11/100))</f>
        <v/>
      </c>
      <c r="I11" s="30"/>
    </row>
    <row r="12" spans="1:9" ht="152.1" customHeight="1" thickBot="1" x14ac:dyDescent="0.25">
      <c r="A12" s="4" t="s">
        <v>21</v>
      </c>
      <c r="B12" s="74" t="s">
        <v>22</v>
      </c>
      <c r="C12" s="75"/>
      <c r="D12" s="74" t="s">
        <v>22</v>
      </c>
      <c r="E12" s="75"/>
      <c r="F12" s="1">
        <v>10</v>
      </c>
      <c r="G12" s="67"/>
      <c r="H12" s="68" t="str">
        <f t="shared" ref="H12" si="1">IF(G12="","",(G12*F12/100))</f>
        <v/>
      </c>
      <c r="I12" s="30"/>
    </row>
    <row r="13" spans="1:9" ht="42.95" customHeight="1" thickBot="1" x14ac:dyDescent="0.25">
      <c r="A13" s="4" t="s">
        <v>23</v>
      </c>
      <c r="B13" s="74" t="s">
        <v>24</v>
      </c>
      <c r="C13" s="75"/>
      <c r="D13" s="74" t="s">
        <v>24</v>
      </c>
      <c r="E13" s="75"/>
      <c r="F13" s="1">
        <v>10</v>
      </c>
      <c r="G13" s="67"/>
      <c r="H13" s="68" t="str">
        <f t="shared" si="0"/>
        <v/>
      </c>
      <c r="I13" s="30"/>
    </row>
    <row r="14" spans="1:9" ht="13.5" thickBot="1" x14ac:dyDescent="0.25">
      <c r="A14" s="5" t="s">
        <v>25</v>
      </c>
      <c r="B14" s="79"/>
      <c r="C14" s="80"/>
      <c r="D14" s="79"/>
      <c r="E14" s="80"/>
      <c r="F14" s="6">
        <f>SUM(F9:F13)</f>
        <v>100</v>
      </c>
      <c r="G14" s="6"/>
      <c r="H14" s="27" t="str">
        <f>IF(COUNT(H9:H13)=0,"",SUM(H9:H13))</f>
        <v/>
      </c>
      <c r="I14" s="5"/>
    </row>
    <row r="16" spans="1:9" ht="13.5" thickBot="1" x14ac:dyDescent="0.25">
      <c r="A16" t="s">
        <v>26</v>
      </c>
    </row>
    <row r="17" spans="1:9" ht="30.6" customHeight="1" thickBot="1" x14ac:dyDescent="0.25">
      <c r="A17" s="81"/>
      <c r="B17" s="82"/>
      <c r="C17" s="82"/>
      <c r="D17" s="82"/>
      <c r="E17" s="82"/>
      <c r="F17" s="82"/>
      <c r="G17" s="82"/>
      <c r="H17" s="82"/>
      <c r="I17" s="83"/>
    </row>
    <row r="18" spans="1:9" ht="13.5" thickBot="1" x14ac:dyDescent="0.25">
      <c r="A18" s="31"/>
      <c r="B18" s="8"/>
      <c r="D18" s="8"/>
      <c r="E18" s="8"/>
      <c r="F18" s="8"/>
      <c r="G18" s="8"/>
      <c r="H18" s="9"/>
      <c r="I18" s="8"/>
    </row>
    <row r="19" spans="1:9" ht="15.75" thickBot="1" x14ac:dyDescent="0.25">
      <c r="A19" s="28" t="s">
        <v>27</v>
      </c>
      <c r="B19" s="69" t="str">
        <f>IF(H14="","",calculatenote(H14))</f>
        <v/>
      </c>
      <c r="G19" s="76"/>
      <c r="H19" s="77"/>
    </row>
    <row r="20" spans="1:9" ht="27" customHeight="1" thickBot="1" x14ac:dyDescent="0.25">
      <c r="A20" s="26" t="s">
        <v>28</v>
      </c>
      <c r="B20" s="29" t="str">
        <f>IF(B19="","",IF(MOD(B19,0.5)&lt;0.25,INT(B19/0.5)*0.5,INT(B19/0.5)*0.5+0.5))</f>
        <v/>
      </c>
      <c r="H20"/>
    </row>
    <row r="21" spans="1:9" x14ac:dyDescent="0.2">
      <c r="A21" s="8"/>
      <c r="H21"/>
    </row>
    <row r="22" spans="1:9" x14ac:dyDescent="0.2">
      <c r="H22"/>
    </row>
    <row r="23" spans="1:9" x14ac:dyDescent="0.2">
      <c r="H23"/>
      <c r="I23" s="7"/>
    </row>
    <row r="24" spans="1:9" x14ac:dyDescent="0.2">
      <c r="H24"/>
    </row>
    <row r="25" spans="1:9" x14ac:dyDescent="0.2">
      <c r="H25"/>
    </row>
    <row r="26" spans="1:9" x14ac:dyDescent="0.2">
      <c r="H26"/>
    </row>
    <row r="27" spans="1:9" x14ac:dyDescent="0.2">
      <c r="H27"/>
    </row>
    <row r="28" spans="1:9" x14ac:dyDescent="0.2">
      <c r="H28"/>
    </row>
    <row r="29" spans="1:9" x14ac:dyDescent="0.2">
      <c r="H29"/>
    </row>
    <row r="30" spans="1:9" x14ac:dyDescent="0.2">
      <c r="H30"/>
    </row>
  </sheetData>
  <sheetProtection formatRows="0" selectLockedCells="1"/>
  <mergeCells count="20">
    <mergeCell ref="B10:C10"/>
    <mergeCell ref="B12:C12"/>
    <mergeCell ref="D14:E14"/>
    <mergeCell ref="D11:E11"/>
    <mergeCell ref="G1:I3"/>
    <mergeCell ref="D8:E8"/>
    <mergeCell ref="D9:E9"/>
    <mergeCell ref="D10:E10"/>
    <mergeCell ref="G19:H19"/>
    <mergeCell ref="D12:E12"/>
    <mergeCell ref="D13:E13"/>
    <mergeCell ref="B6:I6"/>
    <mergeCell ref="B4:I4"/>
    <mergeCell ref="B13:C13"/>
    <mergeCell ref="B14:C14"/>
    <mergeCell ref="A17:I17"/>
    <mergeCell ref="B9:C9"/>
    <mergeCell ref="B11:C11"/>
    <mergeCell ref="B5:I5"/>
    <mergeCell ref="B8:C8"/>
  </mergeCells>
  <phoneticPr fontId="1" type="noConversion"/>
  <pageMargins left="0.79000000000000015" right="0.79000000000000015" top="0.98" bottom="0.98" header="0.49" footer="0.49"/>
  <pageSetup paperSize="9" scale="6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6"/>
  <dimension ref="A1:H54"/>
  <sheetViews>
    <sheetView workbookViewId="0">
      <selection activeCell="H15" sqref="H15"/>
    </sheetView>
  </sheetViews>
  <sheetFormatPr baseColWidth="10" defaultColWidth="10.85546875" defaultRowHeight="12.75" x14ac:dyDescent="0.2"/>
  <cols>
    <col min="1" max="1" width="9.5703125" customWidth="1"/>
    <col min="2" max="2" width="6.85546875" customWidth="1"/>
    <col min="3" max="3" width="13.42578125" customWidth="1"/>
    <col min="4" max="4" width="9.42578125" style="12" customWidth="1"/>
    <col min="5" max="5" width="9.140625" customWidth="1"/>
    <col min="6" max="6" width="9" customWidth="1"/>
    <col min="7" max="7" width="12.140625" customWidth="1"/>
  </cols>
  <sheetData>
    <row r="1" spans="1:8" ht="18.75" x14ac:dyDescent="0.3">
      <c r="A1" s="11" t="s">
        <v>29</v>
      </c>
    </row>
    <row r="3" spans="1:8" s="15" customFormat="1" x14ac:dyDescent="0.2">
      <c r="A3" s="13" t="s">
        <v>30</v>
      </c>
      <c r="B3" s="13" t="s">
        <v>31</v>
      </c>
      <c r="C3" s="13" t="s">
        <v>32</v>
      </c>
      <c r="D3" s="14"/>
      <c r="E3" s="13" t="s">
        <v>30</v>
      </c>
      <c r="F3" s="13" t="s">
        <v>31</v>
      </c>
      <c r="G3" s="13" t="s">
        <v>32</v>
      </c>
    </row>
    <row r="4" spans="1:8" x14ac:dyDescent="0.2">
      <c r="A4" s="16">
        <v>100</v>
      </c>
      <c r="B4" s="17">
        <f>calculatenote(A4)</f>
        <v>6</v>
      </c>
      <c r="C4" s="18">
        <f t="shared" ref="C4:C35" si="0">IF(MOD(B4,0.5)&lt;0.25,INT(B4/0.5)*0.5,INT(B4/0.5)*0.5+0.5)</f>
        <v>6</v>
      </c>
      <c r="E4" s="19">
        <v>50</v>
      </c>
      <c r="F4" s="17">
        <f>calculatenote(E4)</f>
        <v>4</v>
      </c>
      <c r="G4" s="18">
        <f t="shared" ref="G4:G35" si="1">IF(MOD(F4,0.5)&lt;0.25,INT(F4/0.5)*0.5,INT(F4/0.5)*0.5+0.5)</f>
        <v>4</v>
      </c>
      <c r="H4" s="12"/>
    </row>
    <row r="5" spans="1:8" x14ac:dyDescent="0.2">
      <c r="A5" s="20">
        <v>99</v>
      </c>
      <c r="B5" s="21">
        <f>calculatenote(A5)</f>
        <v>6</v>
      </c>
      <c r="C5" s="21">
        <f t="shared" si="0"/>
        <v>6</v>
      </c>
      <c r="E5" s="22">
        <v>49</v>
      </c>
      <c r="F5" s="21">
        <f>calculatenote(E5)</f>
        <v>3.94</v>
      </c>
      <c r="G5" s="21">
        <f t="shared" si="1"/>
        <v>4</v>
      </c>
      <c r="H5" s="12"/>
    </row>
    <row r="6" spans="1:8" x14ac:dyDescent="0.2">
      <c r="A6" s="16">
        <v>98</v>
      </c>
      <c r="B6" s="17">
        <f>calculatenote(A6)</f>
        <v>6</v>
      </c>
      <c r="C6" s="17">
        <f t="shared" si="0"/>
        <v>6</v>
      </c>
      <c r="E6" s="19">
        <v>48</v>
      </c>
      <c r="F6" s="17">
        <f>calculatenote(E6)</f>
        <v>3.88</v>
      </c>
      <c r="G6" s="17">
        <f t="shared" si="1"/>
        <v>4</v>
      </c>
      <c r="H6" s="12"/>
    </row>
    <row r="7" spans="1:8" x14ac:dyDescent="0.2">
      <c r="A7" s="20">
        <v>97</v>
      </c>
      <c r="B7" s="21">
        <f t="shared" ref="B7:B53" si="2">calculatenote(A7)</f>
        <v>6</v>
      </c>
      <c r="C7" s="21">
        <f t="shared" si="0"/>
        <v>6</v>
      </c>
      <c r="E7" s="22">
        <v>47</v>
      </c>
      <c r="F7" s="21">
        <f t="shared" ref="F7:F53" si="3">calculatenote(E7)</f>
        <v>3.82</v>
      </c>
      <c r="G7" s="21">
        <f t="shared" si="1"/>
        <v>4</v>
      </c>
      <c r="H7" s="12"/>
    </row>
    <row r="8" spans="1:8" x14ac:dyDescent="0.2">
      <c r="A8" s="16">
        <v>96</v>
      </c>
      <c r="B8" s="17">
        <f t="shared" si="2"/>
        <v>6</v>
      </c>
      <c r="C8" s="17">
        <f t="shared" si="0"/>
        <v>6</v>
      </c>
      <c r="E8" s="19">
        <v>46</v>
      </c>
      <c r="F8" s="17">
        <f t="shared" si="3"/>
        <v>3.76</v>
      </c>
      <c r="G8" s="17">
        <f t="shared" si="1"/>
        <v>4</v>
      </c>
      <c r="H8" s="12"/>
    </row>
    <row r="9" spans="1:8" x14ac:dyDescent="0.2">
      <c r="A9" s="20">
        <v>95</v>
      </c>
      <c r="B9" s="21">
        <f t="shared" si="2"/>
        <v>6</v>
      </c>
      <c r="C9" s="21">
        <f t="shared" si="0"/>
        <v>6</v>
      </c>
      <c r="E9" s="22">
        <v>45</v>
      </c>
      <c r="F9" s="21">
        <f t="shared" si="3"/>
        <v>3.7</v>
      </c>
      <c r="G9" s="21">
        <f t="shared" si="1"/>
        <v>3.5</v>
      </c>
      <c r="H9" s="12"/>
    </row>
    <row r="10" spans="1:8" x14ac:dyDescent="0.2">
      <c r="A10" s="16">
        <v>94</v>
      </c>
      <c r="B10" s="17">
        <f t="shared" si="2"/>
        <v>6</v>
      </c>
      <c r="C10" s="17">
        <f t="shared" si="0"/>
        <v>6</v>
      </c>
      <c r="E10" s="19">
        <v>44</v>
      </c>
      <c r="F10" s="17">
        <f t="shared" si="3"/>
        <v>3.64</v>
      </c>
      <c r="G10" s="17">
        <f t="shared" si="1"/>
        <v>3.5</v>
      </c>
      <c r="H10" s="12"/>
    </row>
    <row r="11" spans="1:8" x14ac:dyDescent="0.2">
      <c r="A11" s="20">
        <v>93</v>
      </c>
      <c r="B11" s="21">
        <f t="shared" si="2"/>
        <v>6</v>
      </c>
      <c r="C11" s="21">
        <f t="shared" si="0"/>
        <v>6</v>
      </c>
      <c r="E11" s="22">
        <v>43</v>
      </c>
      <c r="F11" s="21">
        <f t="shared" si="3"/>
        <v>3.58</v>
      </c>
      <c r="G11" s="21">
        <f t="shared" si="1"/>
        <v>3.5</v>
      </c>
      <c r="H11" s="12"/>
    </row>
    <row r="12" spans="1:8" x14ac:dyDescent="0.2">
      <c r="A12" s="16">
        <v>92</v>
      </c>
      <c r="B12" s="17">
        <f t="shared" si="2"/>
        <v>6</v>
      </c>
      <c r="C12" s="17">
        <f t="shared" si="0"/>
        <v>6</v>
      </c>
      <c r="E12" s="19">
        <v>42</v>
      </c>
      <c r="F12" s="17">
        <f t="shared" si="3"/>
        <v>3.52</v>
      </c>
      <c r="G12" s="17">
        <f t="shared" si="1"/>
        <v>3.5</v>
      </c>
      <c r="H12" s="12"/>
    </row>
    <row r="13" spans="1:8" x14ac:dyDescent="0.2">
      <c r="A13" s="20">
        <v>91</v>
      </c>
      <c r="B13" s="21">
        <f t="shared" si="2"/>
        <v>6</v>
      </c>
      <c r="C13" s="21">
        <f t="shared" si="0"/>
        <v>6</v>
      </c>
      <c r="E13" s="22">
        <v>41</v>
      </c>
      <c r="F13" s="21">
        <f t="shared" si="3"/>
        <v>3.46</v>
      </c>
      <c r="G13" s="21">
        <f t="shared" si="1"/>
        <v>3.5</v>
      </c>
      <c r="H13" s="12"/>
    </row>
    <row r="14" spans="1:8" x14ac:dyDescent="0.2">
      <c r="A14" s="16">
        <v>90</v>
      </c>
      <c r="B14" s="17">
        <f t="shared" si="2"/>
        <v>6</v>
      </c>
      <c r="C14" s="17">
        <f t="shared" si="0"/>
        <v>6</v>
      </c>
      <c r="E14" s="19">
        <v>40</v>
      </c>
      <c r="F14" s="17">
        <f t="shared" si="3"/>
        <v>3.4</v>
      </c>
      <c r="G14" s="17">
        <f t="shared" si="1"/>
        <v>3.5</v>
      </c>
      <c r="H14" s="12"/>
    </row>
    <row r="15" spans="1:8" x14ac:dyDescent="0.2">
      <c r="A15" s="20">
        <v>89</v>
      </c>
      <c r="B15" s="21">
        <f t="shared" si="2"/>
        <v>5.95</v>
      </c>
      <c r="C15" s="21">
        <f t="shared" si="0"/>
        <v>6</v>
      </c>
      <c r="E15" s="22">
        <v>39</v>
      </c>
      <c r="F15" s="21">
        <f t="shared" si="3"/>
        <v>3.34</v>
      </c>
      <c r="G15" s="21">
        <f t="shared" si="1"/>
        <v>3.5</v>
      </c>
      <c r="H15" s="12"/>
    </row>
    <row r="16" spans="1:8" x14ac:dyDescent="0.2">
      <c r="A16" s="16">
        <v>88</v>
      </c>
      <c r="B16" s="17">
        <f t="shared" si="2"/>
        <v>5.9</v>
      </c>
      <c r="C16" s="17">
        <f t="shared" si="0"/>
        <v>6</v>
      </c>
      <c r="E16" s="19">
        <v>38</v>
      </c>
      <c r="F16" s="17">
        <f t="shared" si="3"/>
        <v>3.28</v>
      </c>
      <c r="G16" s="17">
        <f t="shared" si="1"/>
        <v>3.5</v>
      </c>
      <c r="H16" s="12"/>
    </row>
    <row r="17" spans="1:8" x14ac:dyDescent="0.2">
      <c r="A17" s="20">
        <v>87</v>
      </c>
      <c r="B17" s="21">
        <f t="shared" si="2"/>
        <v>5.85</v>
      </c>
      <c r="C17" s="21">
        <f t="shared" si="0"/>
        <v>6</v>
      </c>
      <c r="E17" s="22">
        <v>37</v>
      </c>
      <c r="F17" s="21">
        <f t="shared" si="3"/>
        <v>3.22</v>
      </c>
      <c r="G17" s="21">
        <f t="shared" si="1"/>
        <v>3</v>
      </c>
      <c r="H17" s="12"/>
    </row>
    <row r="18" spans="1:8" x14ac:dyDescent="0.2">
      <c r="A18" s="16">
        <v>86</v>
      </c>
      <c r="B18" s="17">
        <f t="shared" si="2"/>
        <v>5.8</v>
      </c>
      <c r="C18" s="17">
        <f t="shared" si="0"/>
        <v>6</v>
      </c>
      <c r="E18" s="19">
        <v>36</v>
      </c>
      <c r="F18" s="17">
        <f t="shared" si="3"/>
        <v>3.16</v>
      </c>
      <c r="G18" s="17">
        <f t="shared" si="1"/>
        <v>3</v>
      </c>
      <c r="H18" s="12"/>
    </row>
    <row r="19" spans="1:8" x14ac:dyDescent="0.2">
      <c r="A19" s="20">
        <v>85</v>
      </c>
      <c r="B19" s="21">
        <f t="shared" si="2"/>
        <v>5.75</v>
      </c>
      <c r="C19" s="21">
        <f t="shared" si="0"/>
        <v>6</v>
      </c>
      <c r="E19" s="22">
        <v>35</v>
      </c>
      <c r="F19" s="21">
        <f t="shared" si="3"/>
        <v>3.1</v>
      </c>
      <c r="G19" s="21">
        <f t="shared" si="1"/>
        <v>3</v>
      </c>
      <c r="H19" s="12"/>
    </row>
    <row r="20" spans="1:8" x14ac:dyDescent="0.2">
      <c r="A20" s="16">
        <v>84</v>
      </c>
      <c r="B20" s="17">
        <f t="shared" si="2"/>
        <v>5.7</v>
      </c>
      <c r="C20" s="17">
        <f t="shared" si="0"/>
        <v>5.5</v>
      </c>
      <c r="E20" s="19">
        <v>34</v>
      </c>
      <c r="F20" s="17">
        <f t="shared" si="3"/>
        <v>3.04</v>
      </c>
      <c r="G20" s="17">
        <f t="shared" si="1"/>
        <v>3</v>
      </c>
      <c r="H20" s="12"/>
    </row>
    <row r="21" spans="1:8" x14ac:dyDescent="0.2">
      <c r="A21" s="20">
        <v>83</v>
      </c>
      <c r="B21" s="21">
        <f t="shared" si="2"/>
        <v>5.65</v>
      </c>
      <c r="C21" s="21">
        <f t="shared" si="0"/>
        <v>5.5</v>
      </c>
      <c r="E21" s="22">
        <v>33</v>
      </c>
      <c r="F21" s="21">
        <f t="shared" si="3"/>
        <v>2.98</v>
      </c>
      <c r="G21" s="21">
        <f t="shared" si="1"/>
        <v>3</v>
      </c>
      <c r="H21" s="12"/>
    </row>
    <row r="22" spans="1:8" x14ac:dyDescent="0.2">
      <c r="A22" s="16">
        <v>82</v>
      </c>
      <c r="B22" s="17">
        <f t="shared" si="2"/>
        <v>5.6</v>
      </c>
      <c r="C22" s="17">
        <f t="shared" si="0"/>
        <v>5.5</v>
      </c>
      <c r="E22" s="19">
        <v>32</v>
      </c>
      <c r="F22" s="17">
        <f t="shared" si="3"/>
        <v>2.92</v>
      </c>
      <c r="G22" s="17">
        <f t="shared" si="1"/>
        <v>3</v>
      </c>
      <c r="H22" s="12"/>
    </row>
    <row r="23" spans="1:8" x14ac:dyDescent="0.2">
      <c r="A23" s="20">
        <v>81</v>
      </c>
      <c r="B23" s="21">
        <f t="shared" si="2"/>
        <v>5.55</v>
      </c>
      <c r="C23" s="21">
        <f t="shared" si="0"/>
        <v>5.5</v>
      </c>
      <c r="E23" s="22">
        <v>31</v>
      </c>
      <c r="F23" s="21">
        <f t="shared" si="3"/>
        <v>2.86</v>
      </c>
      <c r="G23" s="21">
        <f t="shared" si="1"/>
        <v>3</v>
      </c>
      <c r="H23" s="12"/>
    </row>
    <row r="24" spans="1:8" x14ac:dyDescent="0.2">
      <c r="A24" s="16">
        <v>80</v>
      </c>
      <c r="B24" s="17">
        <f t="shared" si="2"/>
        <v>5.5</v>
      </c>
      <c r="C24" s="17">
        <f t="shared" si="0"/>
        <v>5.5</v>
      </c>
      <c r="E24" s="19">
        <v>30</v>
      </c>
      <c r="F24" s="17">
        <f t="shared" si="3"/>
        <v>2.8</v>
      </c>
      <c r="G24" s="17">
        <f t="shared" si="1"/>
        <v>3</v>
      </c>
      <c r="H24" s="12"/>
    </row>
    <row r="25" spans="1:8" x14ac:dyDescent="0.2">
      <c r="A25" s="20">
        <v>79</v>
      </c>
      <c r="B25" s="21">
        <f t="shared" si="2"/>
        <v>5.45</v>
      </c>
      <c r="C25" s="21">
        <f t="shared" si="0"/>
        <v>5.5</v>
      </c>
      <c r="E25" s="22">
        <v>29</v>
      </c>
      <c r="F25" s="21">
        <f t="shared" si="3"/>
        <v>2.74</v>
      </c>
      <c r="G25" s="21">
        <f t="shared" si="1"/>
        <v>2.5</v>
      </c>
      <c r="H25" s="12"/>
    </row>
    <row r="26" spans="1:8" x14ac:dyDescent="0.2">
      <c r="A26" s="16">
        <v>78</v>
      </c>
      <c r="B26" s="17">
        <f t="shared" si="2"/>
        <v>5.4</v>
      </c>
      <c r="C26" s="17">
        <f t="shared" si="0"/>
        <v>5.5</v>
      </c>
      <c r="E26" s="19">
        <v>28</v>
      </c>
      <c r="F26" s="17">
        <f t="shared" si="3"/>
        <v>2.68</v>
      </c>
      <c r="G26" s="17">
        <f t="shared" si="1"/>
        <v>2.5</v>
      </c>
      <c r="H26" s="12"/>
    </row>
    <row r="27" spans="1:8" x14ac:dyDescent="0.2">
      <c r="A27" s="20">
        <v>77</v>
      </c>
      <c r="B27" s="21">
        <f t="shared" si="2"/>
        <v>5.35</v>
      </c>
      <c r="C27" s="21">
        <f t="shared" si="0"/>
        <v>5.5</v>
      </c>
      <c r="E27" s="22">
        <v>27</v>
      </c>
      <c r="F27" s="21">
        <f t="shared" si="3"/>
        <v>2.62</v>
      </c>
      <c r="G27" s="21">
        <f t="shared" si="1"/>
        <v>2.5</v>
      </c>
      <c r="H27" s="12"/>
    </row>
    <row r="28" spans="1:8" x14ac:dyDescent="0.2">
      <c r="A28" s="16">
        <v>76</v>
      </c>
      <c r="B28" s="17">
        <f t="shared" si="2"/>
        <v>5.3</v>
      </c>
      <c r="C28" s="17">
        <f t="shared" si="0"/>
        <v>5.5</v>
      </c>
      <c r="E28" s="19">
        <v>26</v>
      </c>
      <c r="F28" s="17">
        <f t="shared" si="3"/>
        <v>2.56</v>
      </c>
      <c r="G28" s="17">
        <f t="shared" si="1"/>
        <v>2.5</v>
      </c>
      <c r="H28" s="12"/>
    </row>
    <row r="29" spans="1:8" x14ac:dyDescent="0.2">
      <c r="A29" s="20">
        <v>75</v>
      </c>
      <c r="B29" s="21">
        <f t="shared" si="2"/>
        <v>5.25</v>
      </c>
      <c r="C29" s="21">
        <f t="shared" si="0"/>
        <v>5.5</v>
      </c>
      <c r="E29" s="22">
        <v>25</v>
      </c>
      <c r="F29" s="21">
        <f t="shared" si="3"/>
        <v>2.5</v>
      </c>
      <c r="G29" s="21">
        <f t="shared" si="1"/>
        <v>2.5</v>
      </c>
      <c r="H29" s="12"/>
    </row>
    <row r="30" spans="1:8" x14ac:dyDescent="0.2">
      <c r="A30" s="16">
        <v>74</v>
      </c>
      <c r="B30" s="17">
        <f t="shared" si="2"/>
        <v>5.2</v>
      </c>
      <c r="C30" s="17">
        <f t="shared" si="0"/>
        <v>5</v>
      </c>
      <c r="E30" s="19">
        <v>24</v>
      </c>
      <c r="F30" s="17">
        <f t="shared" si="3"/>
        <v>2.44</v>
      </c>
      <c r="G30" s="17">
        <f t="shared" si="1"/>
        <v>2.5</v>
      </c>
      <c r="H30" s="12"/>
    </row>
    <row r="31" spans="1:8" x14ac:dyDescent="0.2">
      <c r="A31" s="20">
        <v>73</v>
      </c>
      <c r="B31" s="21">
        <f t="shared" si="2"/>
        <v>5.15</v>
      </c>
      <c r="C31" s="21">
        <f t="shared" si="0"/>
        <v>5</v>
      </c>
      <c r="E31" s="22">
        <v>23</v>
      </c>
      <c r="F31" s="21">
        <f t="shared" si="3"/>
        <v>2.38</v>
      </c>
      <c r="G31" s="21">
        <f t="shared" si="1"/>
        <v>2.5</v>
      </c>
      <c r="H31" s="12"/>
    </row>
    <row r="32" spans="1:8" x14ac:dyDescent="0.2">
      <c r="A32" s="16">
        <v>72</v>
      </c>
      <c r="B32" s="17">
        <f t="shared" si="2"/>
        <v>5.0999999999999996</v>
      </c>
      <c r="C32" s="17">
        <f t="shared" si="0"/>
        <v>5</v>
      </c>
      <c r="E32" s="19">
        <v>22</v>
      </c>
      <c r="F32" s="17">
        <f t="shared" si="3"/>
        <v>2.3199999999999998</v>
      </c>
      <c r="G32" s="17">
        <f t="shared" si="1"/>
        <v>2.5</v>
      </c>
      <c r="H32" s="12"/>
    </row>
    <row r="33" spans="1:8" x14ac:dyDescent="0.2">
      <c r="A33" s="20">
        <v>71</v>
      </c>
      <c r="B33" s="21">
        <f t="shared" si="2"/>
        <v>5.05</v>
      </c>
      <c r="C33" s="21">
        <f t="shared" si="0"/>
        <v>5</v>
      </c>
      <c r="E33" s="22">
        <v>21</v>
      </c>
      <c r="F33" s="21">
        <f t="shared" si="3"/>
        <v>2.2599999999999998</v>
      </c>
      <c r="G33" s="21">
        <f t="shared" si="1"/>
        <v>2.5</v>
      </c>
      <c r="H33" s="12"/>
    </row>
    <row r="34" spans="1:8" x14ac:dyDescent="0.2">
      <c r="A34" s="16">
        <v>70</v>
      </c>
      <c r="B34" s="17">
        <f t="shared" si="2"/>
        <v>5</v>
      </c>
      <c r="C34" s="17">
        <f t="shared" si="0"/>
        <v>5</v>
      </c>
      <c r="E34" s="19">
        <v>20</v>
      </c>
      <c r="F34" s="17">
        <f t="shared" si="3"/>
        <v>2.2000000000000002</v>
      </c>
      <c r="G34" s="17">
        <f t="shared" si="1"/>
        <v>2</v>
      </c>
      <c r="H34" s="12"/>
    </row>
    <row r="35" spans="1:8" x14ac:dyDescent="0.2">
      <c r="A35" s="20">
        <v>69</v>
      </c>
      <c r="B35" s="21">
        <f t="shared" si="2"/>
        <v>4.95</v>
      </c>
      <c r="C35" s="21">
        <f t="shared" si="0"/>
        <v>5</v>
      </c>
      <c r="E35" s="22">
        <v>19</v>
      </c>
      <c r="F35" s="21">
        <f t="shared" si="3"/>
        <v>2.14</v>
      </c>
      <c r="G35" s="21">
        <f t="shared" si="1"/>
        <v>2</v>
      </c>
      <c r="H35" s="12"/>
    </row>
    <row r="36" spans="1:8" x14ac:dyDescent="0.2">
      <c r="A36" s="16">
        <v>68</v>
      </c>
      <c r="B36" s="17">
        <f t="shared" si="2"/>
        <v>4.9000000000000004</v>
      </c>
      <c r="C36" s="17">
        <f t="shared" ref="C36:C54" si="4">IF(MOD(B36,0.5)&lt;0.25,INT(B36/0.5)*0.5,INT(B36/0.5)*0.5+0.5)</f>
        <v>5</v>
      </c>
      <c r="E36" s="19">
        <v>18</v>
      </c>
      <c r="F36" s="17">
        <f t="shared" si="3"/>
        <v>2.08</v>
      </c>
      <c r="G36" s="17">
        <f t="shared" ref="G36:G54" si="5">IF(MOD(F36,0.5)&lt;0.25,INT(F36/0.5)*0.5,INT(F36/0.5)*0.5+0.5)</f>
        <v>2</v>
      </c>
      <c r="H36" s="12"/>
    </row>
    <row r="37" spans="1:8" x14ac:dyDescent="0.2">
      <c r="A37" s="20">
        <v>67</v>
      </c>
      <c r="B37" s="21">
        <f t="shared" si="2"/>
        <v>4.8499999999999996</v>
      </c>
      <c r="C37" s="21">
        <f t="shared" si="4"/>
        <v>5</v>
      </c>
      <c r="E37" s="22">
        <v>17</v>
      </c>
      <c r="F37" s="21">
        <f t="shared" si="3"/>
        <v>2.02</v>
      </c>
      <c r="G37" s="21">
        <f t="shared" si="5"/>
        <v>2</v>
      </c>
      <c r="H37" s="12"/>
    </row>
    <row r="38" spans="1:8" x14ac:dyDescent="0.2">
      <c r="A38" s="16">
        <v>66</v>
      </c>
      <c r="B38" s="17">
        <f t="shared" si="2"/>
        <v>4.8</v>
      </c>
      <c r="C38" s="17">
        <f t="shared" si="4"/>
        <v>5</v>
      </c>
      <c r="E38" s="19">
        <v>16</v>
      </c>
      <c r="F38" s="17">
        <f t="shared" si="3"/>
        <v>1.96</v>
      </c>
      <c r="G38" s="17">
        <f t="shared" si="5"/>
        <v>2</v>
      </c>
      <c r="H38" s="12"/>
    </row>
    <row r="39" spans="1:8" x14ac:dyDescent="0.2">
      <c r="A39" s="20">
        <v>65</v>
      </c>
      <c r="B39" s="21">
        <f t="shared" si="2"/>
        <v>4.75</v>
      </c>
      <c r="C39" s="21">
        <f t="shared" si="4"/>
        <v>5</v>
      </c>
      <c r="E39" s="22">
        <v>15</v>
      </c>
      <c r="F39" s="21">
        <f t="shared" si="3"/>
        <v>1.9</v>
      </c>
      <c r="G39" s="21">
        <f t="shared" si="5"/>
        <v>2</v>
      </c>
      <c r="H39" s="12"/>
    </row>
    <row r="40" spans="1:8" x14ac:dyDescent="0.2">
      <c r="A40" s="16">
        <v>64</v>
      </c>
      <c r="B40" s="17">
        <f t="shared" si="2"/>
        <v>4.7</v>
      </c>
      <c r="C40" s="17">
        <f t="shared" si="4"/>
        <v>4.5</v>
      </c>
      <c r="E40" s="19">
        <v>14</v>
      </c>
      <c r="F40" s="17">
        <f t="shared" si="3"/>
        <v>1.84</v>
      </c>
      <c r="G40" s="17">
        <f t="shared" si="5"/>
        <v>2</v>
      </c>
      <c r="H40" s="12"/>
    </row>
    <row r="41" spans="1:8" x14ac:dyDescent="0.2">
      <c r="A41" s="20">
        <v>63</v>
      </c>
      <c r="B41" s="21">
        <f t="shared" si="2"/>
        <v>4.6500000000000004</v>
      </c>
      <c r="C41" s="21">
        <f t="shared" si="4"/>
        <v>4.5</v>
      </c>
      <c r="E41" s="22">
        <v>13</v>
      </c>
      <c r="F41" s="21">
        <f t="shared" si="3"/>
        <v>1.78</v>
      </c>
      <c r="G41" s="21">
        <f t="shared" si="5"/>
        <v>2</v>
      </c>
      <c r="H41" s="12"/>
    </row>
    <row r="42" spans="1:8" x14ac:dyDescent="0.2">
      <c r="A42" s="16">
        <v>62</v>
      </c>
      <c r="B42" s="17">
        <f t="shared" si="2"/>
        <v>4.5999999999999996</v>
      </c>
      <c r="C42" s="17">
        <f t="shared" si="4"/>
        <v>4.5</v>
      </c>
      <c r="E42" s="19">
        <v>12</v>
      </c>
      <c r="F42" s="17">
        <f t="shared" si="3"/>
        <v>1.72</v>
      </c>
      <c r="G42" s="17">
        <f t="shared" si="5"/>
        <v>1.5</v>
      </c>
      <c r="H42" s="12"/>
    </row>
    <row r="43" spans="1:8" x14ac:dyDescent="0.2">
      <c r="A43" s="20">
        <v>61</v>
      </c>
      <c r="B43" s="21">
        <f t="shared" si="2"/>
        <v>4.55</v>
      </c>
      <c r="C43" s="21">
        <f t="shared" si="4"/>
        <v>4.5</v>
      </c>
      <c r="E43" s="22">
        <v>11</v>
      </c>
      <c r="F43" s="21">
        <f t="shared" si="3"/>
        <v>1.66</v>
      </c>
      <c r="G43" s="21">
        <f t="shared" si="5"/>
        <v>1.5</v>
      </c>
      <c r="H43" s="12"/>
    </row>
    <row r="44" spans="1:8" x14ac:dyDescent="0.2">
      <c r="A44" s="16">
        <v>60</v>
      </c>
      <c r="B44" s="17">
        <f t="shared" si="2"/>
        <v>4.5</v>
      </c>
      <c r="C44" s="17">
        <f t="shared" si="4"/>
        <v>4.5</v>
      </c>
      <c r="E44" s="19">
        <v>10</v>
      </c>
      <c r="F44" s="17">
        <f t="shared" si="3"/>
        <v>1.6</v>
      </c>
      <c r="G44" s="17">
        <f t="shared" si="5"/>
        <v>1.5</v>
      </c>
      <c r="H44" s="12"/>
    </row>
    <row r="45" spans="1:8" x14ac:dyDescent="0.2">
      <c r="A45" s="20">
        <v>59</v>
      </c>
      <c r="B45" s="21">
        <f t="shared" si="2"/>
        <v>4.45</v>
      </c>
      <c r="C45" s="21">
        <f t="shared" si="4"/>
        <v>4.5</v>
      </c>
      <c r="E45" s="22">
        <v>9</v>
      </c>
      <c r="F45" s="21">
        <f t="shared" si="3"/>
        <v>1.54</v>
      </c>
      <c r="G45" s="21">
        <f t="shared" si="5"/>
        <v>1.5</v>
      </c>
      <c r="H45" s="12"/>
    </row>
    <row r="46" spans="1:8" x14ac:dyDescent="0.2">
      <c r="A46" s="16">
        <v>58</v>
      </c>
      <c r="B46" s="17">
        <f t="shared" si="2"/>
        <v>4.4000000000000004</v>
      </c>
      <c r="C46" s="17">
        <f t="shared" si="4"/>
        <v>4.5</v>
      </c>
      <c r="E46" s="19">
        <v>8</v>
      </c>
      <c r="F46" s="17">
        <f t="shared" si="3"/>
        <v>1.48</v>
      </c>
      <c r="G46" s="17">
        <f t="shared" si="5"/>
        <v>1.5</v>
      </c>
      <c r="H46" s="12"/>
    </row>
    <row r="47" spans="1:8" x14ac:dyDescent="0.2">
      <c r="A47" s="20">
        <v>57</v>
      </c>
      <c r="B47" s="21">
        <f t="shared" si="2"/>
        <v>4.3499999999999996</v>
      </c>
      <c r="C47" s="21">
        <f t="shared" si="4"/>
        <v>4.5</v>
      </c>
      <c r="E47" s="22">
        <v>7</v>
      </c>
      <c r="F47" s="21">
        <f t="shared" si="3"/>
        <v>1.42</v>
      </c>
      <c r="G47" s="21">
        <f t="shared" si="5"/>
        <v>1.5</v>
      </c>
      <c r="H47" s="12"/>
    </row>
    <row r="48" spans="1:8" x14ac:dyDescent="0.2">
      <c r="A48" s="16">
        <v>56</v>
      </c>
      <c r="B48" s="17">
        <f t="shared" si="2"/>
        <v>4.3</v>
      </c>
      <c r="C48" s="17">
        <f t="shared" si="4"/>
        <v>4.5</v>
      </c>
      <c r="E48" s="19">
        <v>6</v>
      </c>
      <c r="F48" s="17">
        <f t="shared" si="3"/>
        <v>1.36</v>
      </c>
      <c r="G48" s="17">
        <f t="shared" si="5"/>
        <v>1.5</v>
      </c>
      <c r="H48" s="12"/>
    </row>
    <row r="49" spans="1:8" x14ac:dyDescent="0.2">
      <c r="A49" s="20">
        <v>55</v>
      </c>
      <c r="B49" s="21">
        <f t="shared" si="2"/>
        <v>4.25</v>
      </c>
      <c r="C49" s="21">
        <f t="shared" si="4"/>
        <v>4.5</v>
      </c>
      <c r="E49" s="22">
        <v>5</v>
      </c>
      <c r="F49" s="21">
        <f t="shared" si="3"/>
        <v>1.3</v>
      </c>
      <c r="G49" s="21">
        <f t="shared" si="5"/>
        <v>1.5</v>
      </c>
      <c r="H49" s="12"/>
    </row>
    <row r="50" spans="1:8" x14ac:dyDescent="0.2">
      <c r="A50" s="16">
        <v>54</v>
      </c>
      <c r="B50" s="17">
        <f t="shared" si="2"/>
        <v>4.2</v>
      </c>
      <c r="C50" s="17">
        <f t="shared" si="4"/>
        <v>4</v>
      </c>
      <c r="E50" s="19">
        <v>4</v>
      </c>
      <c r="F50" s="17">
        <f t="shared" si="3"/>
        <v>1.24</v>
      </c>
      <c r="G50" s="17">
        <f t="shared" si="5"/>
        <v>1</v>
      </c>
      <c r="H50" s="12"/>
    </row>
    <row r="51" spans="1:8" x14ac:dyDescent="0.2">
      <c r="A51" s="20">
        <v>53</v>
      </c>
      <c r="B51" s="21">
        <f t="shared" si="2"/>
        <v>4.1500000000000004</v>
      </c>
      <c r="C51" s="21">
        <f t="shared" si="4"/>
        <v>4</v>
      </c>
      <c r="E51" s="22">
        <v>3</v>
      </c>
      <c r="F51" s="21">
        <f t="shared" si="3"/>
        <v>1.18</v>
      </c>
      <c r="G51" s="21">
        <f t="shared" si="5"/>
        <v>1</v>
      </c>
      <c r="H51" s="12"/>
    </row>
    <row r="52" spans="1:8" x14ac:dyDescent="0.2">
      <c r="A52" s="16">
        <v>52</v>
      </c>
      <c r="B52" s="17">
        <f t="shared" si="2"/>
        <v>4.0999999999999996</v>
      </c>
      <c r="C52" s="17">
        <f t="shared" si="4"/>
        <v>4</v>
      </c>
      <c r="E52" s="19">
        <v>2</v>
      </c>
      <c r="F52" s="17">
        <f t="shared" si="3"/>
        <v>1.1200000000000001</v>
      </c>
      <c r="G52" s="17">
        <f t="shared" si="5"/>
        <v>1</v>
      </c>
      <c r="H52" s="12"/>
    </row>
    <row r="53" spans="1:8" x14ac:dyDescent="0.2">
      <c r="A53" s="20">
        <v>51</v>
      </c>
      <c r="B53" s="21">
        <f t="shared" si="2"/>
        <v>4.05</v>
      </c>
      <c r="C53" s="21">
        <f t="shared" si="4"/>
        <v>4</v>
      </c>
      <c r="E53" s="22">
        <v>1</v>
      </c>
      <c r="F53" s="21">
        <f t="shared" si="3"/>
        <v>1.06</v>
      </c>
      <c r="G53" s="21">
        <f t="shared" si="5"/>
        <v>1</v>
      </c>
      <c r="H53" s="12"/>
    </row>
    <row r="54" spans="1:8" x14ac:dyDescent="0.2">
      <c r="A54" s="23">
        <v>50</v>
      </c>
      <c r="B54" s="24">
        <f>calculatenote(A54)</f>
        <v>4</v>
      </c>
      <c r="C54" s="24">
        <f t="shared" si="4"/>
        <v>4</v>
      </c>
      <c r="E54" s="25">
        <v>0</v>
      </c>
      <c r="F54" s="24">
        <f>calculatenote(E54)</f>
        <v>1</v>
      </c>
      <c r="G54" s="24">
        <f t="shared" si="5"/>
        <v>1</v>
      </c>
      <c r="H54" s="12"/>
    </row>
  </sheetData>
  <phoneticPr fontId="1" type="noConversion"/>
  <pageMargins left="0.78740157499999996" right="0.78740157499999996" top="0.984251969" bottom="0.984251969" header="0.4921259845" footer="0.4921259845"/>
  <pageSetup paperSize="9" orientation="portrait" verticalDpi="12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8"/>
  <sheetViews>
    <sheetView topLeftCell="B1" zoomScale="150" zoomScaleNormal="150" workbookViewId="0">
      <selection activeCell="B10" sqref="B10"/>
    </sheetView>
  </sheetViews>
  <sheetFormatPr baseColWidth="10" defaultColWidth="8.85546875" defaultRowHeight="12.75" x14ac:dyDescent="0.2"/>
  <cols>
    <col min="1" max="1" width="4.140625" customWidth="1"/>
    <col min="2" max="2" width="20.42578125" customWidth="1"/>
    <col min="3" max="8" width="14.140625" customWidth="1"/>
    <col min="9" max="256" width="11.42578125" customWidth="1"/>
  </cols>
  <sheetData>
    <row r="1" spans="1:9" ht="13.5" thickBot="1" x14ac:dyDescent="0.25"/>
    <row r="2" spans="1:9" s="33" customFormat="1" ht="13.5" thickBot="1" x14ac:dyDescent="0.25">
      <c r="A2" s="51"/>
      <c r="B2" s="52" t="s">
        <v>33</v>
      </c>
      <c r="C2" s="85" t="s">
        <v>34</v>
      </c>
      <c r="D2" s="85"/>
      <c r="E2" s="91" t="s">
        <v>35</v>
      </c>
      <c r="F2" s="92"/>
      <c r="G2" s="85" t="s">
        <v>36</v>
      </c>
      <c r="H2" s="85"/>
      <c r="I2" s="53" t="s">
        <v>37</v>
      </c>
    </row>
    <row r="3" spans="1:9" s="33" customFormat="1" x14ac:dyDescent="0.2">
      <c r="A3" s="59"/>
      <c r="B3" s="46"/>
      <c r="C3" s="47">
        <v>100</v>
      </c>
      <c r="D3" s="48">
        <v>80</v>
      </c>
      <c r="E3" s="49">
        <v>79</v>
      </c>
      <c r="F3" s="50">
        <v>60</v>
      </c>
      <c r="G3" s="48">
        <v>59</v>
      </c>
      <c r="H3" s="48">
        <v>0</v>
      </c>
      <c r="I3" s="54"/>
    </row>
    <row r="4" spans="1:9" ht="96" customHeight="1" x14ac:dyDescent="0.2">
      <c r="A4" s="60">
        <v>1</v>
      </c>
      <c r="B4" s="42" t="s">
        <v>38</v>
      </c>
      <c r="C4" s="84" t="s">
        <v>39</v>
      </c>
      <c r="D4" s="84"/>
      <c r="E4" s="86" t="s">
        <v>40</v>
      </c>
      <c r="F4" s="87"/>
      <c r="G4" s="84" t="s">
        <v>41</v>
      </c>
      <c r="H4" s="84"/>
      <c r="I4" s="55">
        <f>IF(Form!G9&gt;=AACSB!D3,1,IF(Form!G9&gt;=AACSB!F3,2,3))</f>
        <v>3</v>
      </c>
    </row>
    <row r="5" spans="1:9" x14ac:dyDescent="0.2">
      <c r="A5" s="61"/>
      <c r="B5" s="43"/>
      <c r="C5" s="38">
        <v>100</v>
      </c>
      <c r="D5" s="39">
        <v>80</v>
      </c>
      <c r="E5" s="40">
        <v>79</v>
      </c>
      <c r="F5" s="41">
        <v>60</v>
      </c>
      <c r="G5" s="39">
        <v>59</v>
      </c>
      <c r="H5" s="39">
        <v>0</v>
      </c>
      <c r="I5" s="56"/>
    </row>
    <row r="6" spans="1:9" ht="95.1" customHeight="1" x14ac:dyDescent="0.2">
      <c r="A6" s="62">
        <v>2</v>
      </c>
      <c r="B6" s="44" t="s">
        <v>42</v>
      </c>
      <c r="C6" s="88" t="s">
        <v>43</v>
      </c>
      <c r="D6" s="88"/>
      <c r="E6" s="89" t="s">
        <v>44</v>
      </c>
      <c r="F6" s="90"/>
      <c r="G6" s="88" t="s">
        <v>45</v>
      </c>
      <c r="H6" s="88"/>
      <c r="I6" s="56">
        <f>IF(Form!G10&gt;=AACSB!D5,1,IF(Form!G10&gt;=AACSB!F5,2,3))</f>
        <v>3</v>
      </c>
    </row>
    <row r="7" spans="1:9" x14ac:dyDescent="0.2">
      <c r="A7" s="63"/>
      <c r="B7" s="45"/>
      <c r="C7" s="34">
        <v>100</v>
      </c>
      <c r="D7" s="35">
        <v>80</v>
      </c>
      <c r="E7" s="36">
        <v>79</v>
      </c>
      <c r="F7" s="37">
        <v>60</v>
      </c>
      <c r="G7" s="35">
        <v>59</v>
      </c>
      <c r="H7" s="35">
        <v>0</v>
      </c>
      <c r="I7" s="57"/>
    </row>
    <row r="8" spans="1:9" ht="80.099999999999994" customHeight="1" x14ac:dyDescent="0.2">
      <c r="A8" s="60">
        <v>3</v>
      </c>
      <c r="B8" s="42" t="s">
        <v>46</v>
      </c>
      <c r="C8" s="84" t="s">
        <v>47</v>
      </c>
      <c r="D8" s="84"/>
      <c r="E8" s="86" t="s">
        <v>48</v>
      </c>
      <c r="F8" s="87"/>
      <c r="G8" s="84" t="s">
        <v>49</v>
      </c>
      <c r="H8" s="84"/>
      <c r="I8" s="55">
        <f>IF(Form!G11&gt;=AACSB!D7,1,IF(Form!G11&gt;=AACSB!F7,2,3))</f>
        <v>3</v>
      </c>
    </row>
    <row r="9" spans="1:9" x14ac:dyDescent="0.2">
      <c r="A9" s="64"/>
      <c r="B9" s="43"/>
      <c r="C9" s="38">
        <v>100</v>
      </c>
      <c r="D9" s="39">
        <v>80</v>
      </c>
      <c r="E9" s="40">
        <v>79</v>
      </c>
      <c r="F9" s="41">
        <v>60</v>
      </c>
      <c r="G9" s="39">
        <v>59</v>
      </c>
      <c r="H9" s="39">
        <v>0</v>
      </c>
      <c r="I9" s="56"/>
    </row>
    <row r="10" spans="1:9" ht="110.1" customHeight="1" thickBot="1" x14ac:dyDescent="0.25">
      <c r="A10" s="65">
        <v>4</v>
      </c>
      <c r="B10" s="66" t="s">
        <v>50</v>
      </c>
      <c r="C10" s="93" t="s">
        <v>51</v>
      </c>
      <c r="D10" s="93"/>
      <c r="E10" s="94" t="s">
        <v>52</v>
      </c>
      <c r="F10" s="95"/>
      <c r="G10" s="93" t="s">
        <v>53</v>
      </c>
      <c r="H10" s="93"/>
      <c r="I10" s="58" t="e">
        <f>IF(Form!#REF!&gt;=AACSB!D9,1,IF(Form!#REF!&gt;=AACSB!F9,2,3))</f>
        <v>#REF!</v>
      </c>
    </row>
    <row r="11" spans="1:9" x14ac:dyDescent="0.2">
      <c r="H11" s="33"/>
    </row>
    <row r="12" spans="1:9" x14ac:dyDescent="0.2">
      <c r="H12" s="33"/>
    </row>
    <row r="13" spans="1:9" x14ac:dyDescent="0.2">
      <c r="H13" s="33"/>
    </row>
    <row r="14" spans="1:9" x14ac:dyDescent="0.2">
      <c r="H14" s="33"/>
    </row>
    <row r="15" spans="1:9" x14ac:dyDescent="0.2">
      <c r="H15" s="33"/>
    </row>
    <row r="16" spans="1:9" x14ac:dyDescent="0.2">
      <c r="H16" s="33"/>
    </row>
    <row r="17" spans="8:8" x14ac:dyDescent="0.2">
      <c r="H17" s="33"/>
    </row>
    <row r="18" spans="8:8" x14ac:dyDescent="0.2">
      <c r="H18" s="33"/>
    </row>
  </sheetData>
  <mergeCells count="15">
    <mergeCell ref="G10:H10"/>
    <mergeCell ref="E8:F8"/>
    <mergeCell ref="C8:D8"/>
    <mergeCell ref="C10:D10"/>
    <mergeCell ref="E10:F10"/>
    <mergeCell ref="G6:H6"/>
    <mergeCell ref="G4:H4"/>
    <mergeCell ref="E2:F2"/>
    <mergeCell ref="G2:H2"/>
    <mergeCell ref="G8:H8"/>
    <mergeCell ref="C4:D4"/>
    <mergeCell ref="C2:D2"/>
    <mergeCell ref="E4:F4"/>
    <mergeCell ref="C6:D6"/>
    <mergeCell ref="E6:F6"/>
  </mergeCells>
  <conditionalFormatting sqref="G3:H4 G6:H6 G8:H8 G10:H25">
    <cfRule type="expression" dxfId="2" priority="14">
      <formula>$I3=3</formula>
    </cfRule>
  </conditionalFormatting>
  <conditionalFormatting sqref="E3:F4 E6:F6 E8:F8 E10:F25">
    <cfRule type="expression" dxfId="1" priority="16">
      <formula>$I3=2</formula>
    </cfRule>
  </conditionalFormatting>
  <conditionalFormatting sqref="C3:D4 C6:D6 C8:D8 C10:D25">
    <cfRule type="expression" dxfId="0" priority="18">
      <formula>$I3=1</formula>
    </cfRule>
  </conditionalFormatting>
  <pageMargins left="0.75" right="0.75" top="1" bottom="1" header="0.5" footer="0.5"/>
  <pageSetup paperSize="9" orientation="portrait" horizontalDpi="4294967292" verticalDpi="4294967292"/>
  <headerFooter alignWithMargins="0"/>
  <ignoredErrors>
    <ignoredError sqref="I6:I10" emptyCellReferenc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468E7-EFDF-4D3E-B690-DDB8D014A616}">
  <dimension ref="A1"/>
  <sheetViews>
    <sheetView workbookViewId="0"/>
  </sheetViews>
  <sheetFormatPr baseColWidth="10" defaultColWidth="9.140625"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E613CEC5BD9A247BEE842BCD693068C" ma:contentTypeVersion="13" ma:contentTypeDescription="Create a new document." ma:contentTypeScope="" ma:versionID="ee74455ceeb699837d1bc54147f40508">
  <xsd:schema xmlns:xsd="http://www.w3.org/2001/XMLSchema" xmlns:xs="http://www.w3.org/2001/XMLSchema" xmlns:p="http://schemas.microsoft.com/office/2006/metadata/properties" xmlns:ns2="545bafd5-6147-4e6c-b9bf-70e7c26c4de2" xmlns:ns3="42db1736-6b11-42dd-8b2b-c2f24b6ece4d" targetNamespace="http://schemas.microsoft.com/office/2006/metadata/properties" ma:root="true" ma:fieldsID="52737bb87e8e9e473ff8c6154f1090a8" ns2:_="" ns3:_="">
    <xsd:import namespace="545bafd5-6147-4e6c-b9bf-70e7c26c4de2"/>
    <xsd:import namespace="42db1736-6b11-42dd-8b2b-c2f24b6ece4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MediaServiceObjectDetectorVersions" minOccurs="0"/>
                <xsd:element ref="ns3:MediaServiceGenerationTime" minOccurs="0"/>
                <xsd:element ref="ns3:MediaServiceEventHashCode"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5bafd5-6147-4e6c-b9bf-70e7c26c4de2"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2db1736-6b11-42dd-8b2b-c2f24b6ece4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38B99EA-41D1-4E1B-8B36-BDD4B495DA37}">
  <ds:schemaRefs>
    <ds:schemaRef ds:uri="http://schemas.microsoft.com/office/2006/metadata/longProperties"/>
  </ds:schemaRefs>
</ds:datastoreItem>
</file>

<file path=customXml/itemProps2.xml><?xml version="1.0" encoding="utf-8"?>
<ds:datastoreItem xmlns:ds="http://schemas.openxmlformats.org/officeDocument/2006/customXml" ds:itemID="{7E0610B2-06F1-4DE1-A153-35E009F6C452}">
  <ds:schemaRefs>
    <ds:schemaRef ds:uri="http://schemas.microsoft.com/sharepoint/v3/contenttype/forms"/>
  </ds:schemaRefs>
</ds:datastoreItem>
</file>

<file path=customXml/itemProps3.xml><?xml version="1.0" encoding="utf-8"?>
<ds:datastoreItem xmlns:ds="http://schemas.openxmlformats.org/officeDocument/2006/customXml" ds:itemID="{429C15EE-1C6A-482B-9253-57E9B81AB744}"/>
</file>

<file path=customXml/itemProps4.xml><?xml version="1.0" encoding="utf-8"?>
<ds:datastoreItem xmlns:ds="http://schemas.openxmlformats.org/officeDocument/2006/customXml" ds:itemID="{5E03EAA5-AF11-4566-B2FF-891AD25E5B7C}">
  <ds:schemaRefs>
    <ds:schemaRef ds:uri="http://purl.org/dc/terms/"/>
    <ds:schemaRef ds:uri="http://schemas.openxmlformats.org/package/2006/metadata/core-properties"/>
    <ds:schemaRef ds:uri="http://purl.org/dc/elements/1.1/"/>
    <ds:schemaRef ds:uri="http://www.w3.org/XML/1998/namespace"/>
    <ds:schemaRef ds:uri="http://purl.org/dc/dcmitype/"/>
    <ds:schemaRef ds:uri="http://schemas.microsoft.com/office/2006/documentManagement/types"/>
    <ds:schemaRef ds:uri="http://schemas.microsoft.com/office/infopath/2007/PartnerControls"/>
    <ds:schemaRef ds:uri="42db1736-6b11-42dd-8b2b-c2f24b6ece4d"/>
    <ds:schemaRef ds:uri="545bafd5-6147-4e6c-b9bf-70e7c26c4de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Form</vt:lpstr>
      <vt:lpstr>Notenskala</vt:lpstr>
      <vt:lpstr>AACSB</vt:lpstr>
      <vt:lpstr>Tabelle1</vt:lpstr>
      <vt:lpstr>Form!Druckbereich</vt:lpstr>
    </vt:vector>
  </TitlesOfParts>
  <Manager/>
  <Company>fhso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knut.hinkelmann</dc:creator>
  <cp:keywords/>
  <dc:description/>
  <cp:lastModifiedBy>Uwe Leimstoll</cp:lastModifiedBy>
  <cp:revision/>
  <dcterms:created xsi:type="dcterms:W3CDTF">2006-05-12T11:52:49Z</dcterms:created>
  <dcterms:modified xsi:type="dcterms:W3CDTF">2025-08-27T10:56:41Z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kumententyp">
    <vt:lpwstr/>
  </property>
  <property fmtid="{D5CDD505-2E9C-101B-9397-08002B2CF9AE}" pid="3" name="ContentTypeId">
    <vt:lpwstr>0x0101009E613CEC5BD9A247BEE842BCD693068C</vt:lpwstr>
  </property>
</Properties>
</file>